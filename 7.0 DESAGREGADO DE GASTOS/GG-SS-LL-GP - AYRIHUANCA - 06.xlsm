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 751\Documents\GitHub\IOARR0006\7.0 DESAGREGADO DE GASTOS\"/>
    </mc:Choice>
  </mc:AlternateContent>
  <bookViews>
    <workbookView xWindow="-108" yWindow="-108" windowWidth="30936" windowHeight="16896" tabRatio="690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RESUMEN!$B$1:$G$28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55" i="22"/>
  <c r="E97" i="22" s="1"/>
  <c r="F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E87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35" i="21"/>
  <c r="F37" i="21" s="1"/>
  <c r="G28" i="21" s="1"/>
  <c r="E77" i="21"/>
  <c r="E47" i="21"/>
  <c r="E67" i="22"/>
  <c r="F67" i="22" s="1"/>
  <c r="E88" i="21"/>
  <c r="E66" i="22"/>
  <c r="F54" i="22"/>
  <c r="G141" i="12"/>
  <c r="E76" i="22"/>
  <c r="F76" i="22" s="1"/>
  <c r="E96" i="22"/>
  <c r="E107" i="22"/>
  <c r="D92" i="11"/>
  <c r="F37" i="11"/>
  <c r="D108" i="11"/>
  <c r="D73" i="11"/>
  <c r="D134" i="11"/>
  <c r="D116" i="11"/>
  <c r="F45" i="11"/>
  <c r="D65" i="11"/>
  <c r="F47" i="21" l="1"/>
  <c r="F49" i="21" s="1"/>
  <c r="E88" i="22"/>
  <c r="E108" i="22"/>
  <c r="E77" i="22"/>
  <c r="F55" i="22"/>
  <c r="F56" i="22" s="1"/>
  <c r="G47" i="22" s="1"/>
  <c r="F96" i="22"/>
  <c r="D77" i="21"/>
  <c r="D88" i="21" s="1"/>
  <c r="F88" i="21" s="1"/>
  <c r="F90" i="21" s="1"/>
  <c r="G81" i="21" s="1"/>
  <c r="F68" i="21"/>
  <c r="F70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19" i="25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F77" i="22"/>
  <c r="F78" i="2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77" i="21" l="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G25" i="25" l="1"/>
  <c r="I16" i="10"/>
  <c r="I21" i="10" s="1"/>
  <c r="G28" i="12"/>
  <c r="G14" i="12" s="1"/>
  <c r="H16" i="10" s="1"/>
  <c r="H21" i="10" s="1"/>
  <c r="G12" i="25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D21" i="10"/>
  <c r="D22" i="10" s="1"/>
  <c r="G16" i="10"/>
  <c r="J15" i="25" l="1"/>
  <c r="E13" i="25" s="1"/>
  <c r="G14" i="25"/>
  <c r="G16" i="25" s="1"/>
  <c r="J24" i="25" s="1"/>
  <c r="K19" i="11"/>
  <c r="K22" i="11" s="1"/>
  <c r="K25" i="11" s="1"/>
  <c r="G204" i="11"/>
  <c r="K16" i="10"/>
  <c r="G21" i="25" l="1"/>
  <c r="E19" i="25"/>
  <c r="G19" i="10"/>
  <c r="G27" i="25" l="1"/>
  <c r="E23" i="25"/>
  <c r="E25" i="25"/>
  <c r="E24" i="25"/>
  <c r="I154" i="16"/>
  <c r="E21" i="10"/>
  <c r="K19" i="10"/>
  <c r="K21" i="10" s="1"/>
  <c r="L21" i="10" s="1"/>
  <c r="G21" i="10"/>
  <c r="I154" i="27" l="1"/>
  <c r="H22" i="10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<sst xmlns="http://schemas.openxmlformats.org/spreadsheetml/2006/main" count="2149" uniqueCount="655">
  <si>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</si>
  <si>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</si>
  <si>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</si>
  <si>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</si>
  <si>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</si>
  <si>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</si>
  <si>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</si>
  <si>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</si>
  <si>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</si>
  <si>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</si>
  <si>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</si>
  <si>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</si>
  <si>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</si>
  <si>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</si>
  <si>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</si>
  <si>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</si>
  <si>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</si>
  <si>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</si>
  <si>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</si>
  <si>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</si>
  <si>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</si>
  <si>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</si>
  <si>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</si>
  <si>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</si>
  <si>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</si>
  <si>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</si>
  <si>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</si>
  <si>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</si>
  <si>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</si>
  <si>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</si>
  <si>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</si>
  <si>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</si>
  <si>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</si>
  <si>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</si>
  <si>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</si>
  <si>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</si>
  <si>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</si>
  <si>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</si>
  <si>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</si>
  <si>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</si>
  <si>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</si>
  <si>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</si>
  <si>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</si>
  <si>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</si>
  <si>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</si>
  <si>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</si>
  <si>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</si>
  <si>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</si>
  <si>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</si>
  <si>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</si>
  <si>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</si>
  <si>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</si>
  <si>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</si>
  <si>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</si>
  <si>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</si>
  <si>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</si>
  <si>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</si>
  <si>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</si>
  <si>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</si>
  <si>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</si>
  <si>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</si>
  <si>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</si>
  <si>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</si>
  <si>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</si>
  <si>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</si>
  <si>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</si>
  <si>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</si>
  <si>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</si>
  <si>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</si>
  <si>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</si>
  <si>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</si>
  <si>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</si>
  <si>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</si>
  <si>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</si>
  <si>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</si>
  <si>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</si>
  <si>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</si>
  <si>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</si>
  <si>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</si>
  <si>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</si>
  <si>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</si>
  <si>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</si>
  <si>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</si>
  <si>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</si>
  <si>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</si>
  <si>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</si>
  <si>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</si>
  <si>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</si>
  <si>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</si>
  <si>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</si>
  <si>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</si>
  <si>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</si>
  <si>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</si>
  <si>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</si>
  <si>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</si>
  <si>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</si>
  <si>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</si>
  <si>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</si>
  <si>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</si>
  <si>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</si>
  <si>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</si>
  <si>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</si>
  <si>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</si>
  <si>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</si>
  <si>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</si>
  <si>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</si>
  <si>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</si>
  <si>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</si>
  <si>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</si>
  <si>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</si>
  <si>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</si>
  <si>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</si>
  <si>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</si>
  <si>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</si>
  <si>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</si>
  <si>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</si>
  <si>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</si>
  <si>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</si>
  <si>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</si>
  <si>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</si>
  <si>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</si>
  <si>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</si>
  <si>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</si>
  <si>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</si>
  <si>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</si>
  <si>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</si>
  <si>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</si>
  <si>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</si>
  <si>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</si>
  <si>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</si>
  <si>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</si>
  <si>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</si>
  <si>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</si>
  <si>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</si>
  <si>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</si>
  <si>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</si>
  <si>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</si>
  <si>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</si>
  <si>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</si>
  <si>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</si>
  <si>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</si>
  <si>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</si>
  <si>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</si>
  <si>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</si>
  <si>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</si>
  <si>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</si>
  <si>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</si>
  <si>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</si>
  <si>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</si>
  <si>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</si>
  <si>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</si>
  <si>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</si>
  <si>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</si>
  <si>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</si>
  <si>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</si>
  <si>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</si>
  <si>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</si>
  <si>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</si>
  <si>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</si>
  <si>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</si>
  <si>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</si>
  <si>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</si>
  <si>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</si>
  <si>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</si>
  <si>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</si>
  <si>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</si>
  <si>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</si>
  <si>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</si>
  <si>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</si>
  <si>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</si>
  <si>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</si>
  <si>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</si>
  <si>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</si>
  <si>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</si>
  <si>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</si>
  <si>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</si>
  <si>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</si>
  <si>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</si>
  <si>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</si>
  <si>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</si>
  <si>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</si>
  <si>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</si>
  <si>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</si>
  <si>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</si>
  <si>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</si>
  <si>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</si>
  <si>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</si>
  <si>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</si>
  <si>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</si>
  <si>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</si>
  <si>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</si>
  <si>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</si>
  <si>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</si>
  <si>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</si>
  <si>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</si>
  <si>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</si>
  <si>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</si>
  <si>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</si>
  <si>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</si>
  <si>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</si>
  <si>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</si>
  <si>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</si>
  <si>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</si>
  <si>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</si>
  <si>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</si>
  <si>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</si>
  <si>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</si>
  <si>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</si>
  <si>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</si>
  <si>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</si>
  <si>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</si>
  <si>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</si>
  <si>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</si>
  <si>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</si>
  <si>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</si>
  <si>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</si>
  <si>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</si>
  <si>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</si>
  <si>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</si>
  <si>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</si>
  <si>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</si>
  <si>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</si>
  <si>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</si>
  <si>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</si>
  <si>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</si>
  <si>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</si>
  <si>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</si>
  <si>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</si>
  <si>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</si>
  <si>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</si>
  <si>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</si>
  <si>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</si>
  <si>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</si>
  <si>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</si>
  <si>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</si>
  <si>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</si>
  <si>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</si>
  <si>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</si>
  <si>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</si>
  <si>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</si>
  <si>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</si>
  <si>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</si>
  <si>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</si>
  <si>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</si>
  <si>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</si>
  <si>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</si>
  <si>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</si>
  <si>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</si>
  <si>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</si>
  <si>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</si>
  <si>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</si>
  <si>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</si>
  <si>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</si>
  <si>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</si>
  <si>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</si>
  <si>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</si>
  <si>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</si>
  <si>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</si>
  <si>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</si>
  <si>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</si>
  <si>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</si>
  <si>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</si>
  <si>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</si>
  <si>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</si>
  <si>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</si>
  <si>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</si>
  <si>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</si>
  <si>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</si>
  <si>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</si>
  <si>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</si>
  <si>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</si>
  <si>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</si>
  <si>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</si>
  <si>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</si>
  <si>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</si>
  <si>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</si>
  <si>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</si>
  <si>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</si>
  <si>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</si>
  <si>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</si>
  <si>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</si>
  <si>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</si>
  <si>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</si>
  <si>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</si>
  <si>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</si>
  <si>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</si>
  <si>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</si>
  <si>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</si>
  <si>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</si>
  <si>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</si>
  <si>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</si>
  <si>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</si>
  <si>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</si>
  <si>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</si>
  <si>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</si>
  <si>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</si>
  <si>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</si>
  <si>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</si>
  <si>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</si>
  <si>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</si>
  <si>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</si>
  <si>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</si>
  <si>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</si>
  <si>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</si>
  <si>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</si>
  <si>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</si>
  <si>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</si>
  <si>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</si>
  <si>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</si>
  <si>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</si>
  <si>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</si>
  <si>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</si>
  <si>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</si>
  <si>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</si>
  <si>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</si>
  <si>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</si>
  <si>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</si>
  <si>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</si>
  <si>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</si>
  <si>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</si>
  <si>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</si>
  <si>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</si>
  <si>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</si>
  <si>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</si>
  <si>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</si>
  <si>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</si>
  <si>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</si>
  <si>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</si>
  <si>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</si>
  <si>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</si>
  <si>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</si>
  <si>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</si>
  <si>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</si>
  <si>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</si>
  <si>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</si>
  <si>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</si>
  <si>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</si>
  <si>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</si>
  <si>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</si>
  <si>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</si>
  <si>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</si>
  <si>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</si>
  <si>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</si>
  <si>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</si>
  <si>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</si>
  <si>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</si>
  <si>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</si>
  <si>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</si>
  <si>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</si>
  <si>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</si>
  <si>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</si>
  <si>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</si>
  <si>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</si>
  <si>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</si>
  <si>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</si>
  <si>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</si>
  <si>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</si>
  <si>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</si>
  <si>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</si>
  <si>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</si>
  <si>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</si>
  <si>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</si>
  <si>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</si>
  <si>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</si>
  <si>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</si>
  <si>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</si>
  <si>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</si>
  <si>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</si>
  <si>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</si>
  <si>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</si>
  <si>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</si>
  <si>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</si>
  <si>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</si>
  <si>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</si>
  <si>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</si>
  <si>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</si>
  <si>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</si>
  <si>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</si>
  <si>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</si>
  <si>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</si>
  <si>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</si>
  <si>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</si>
  <si>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</si>
  <si>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</si>
  <si>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</si>
  <si>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</si>
  <si>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</si>
  <si>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</si>
  <si>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</si>
  <si>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</si>
  <si>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</si>
  <si>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</si>
  <si>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</si>
  <si>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</si>
  <si>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</si>
  <si>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</si>
  <si>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</si>
  <si>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</si>
  <si>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</si>
  <si>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</si>
  <si>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</si>
  <si>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</si>
  <si>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</si>
  <si>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</si>
  <si>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</si>
  <si>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</si>
  <si>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</si>
  <si>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</si>
  <si>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</si>
  <si>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</si>
  <si>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</si>
  <si>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</si>
  <si>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</si>
  <si>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</si>
  <si>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</si>
  <si>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</si>
  <si>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</si>
  <si>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</si>
  <si>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</si>
  <si>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</si>
  <si>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</si>
  <si>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</si>
  <si>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</si>
  <si>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</si>
  <si>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</si>
  <si>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</si>
  <si>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</si>
  <si>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</si>
  <si>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</si>
  <si>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</si>
  <si>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</si>
  <si>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</si>
  <si>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</si>
  <si>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</si>
  <si>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</si>
  <si>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</si>
  <si>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</si>
  <si>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</si>
  <si>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</si>
  <si>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</si>
  <si>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</si>
  <si>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</si>
  <si>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</si>
  <si>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</si>
  <si>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</si>
  <si>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</si>
  <si>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</si>
  <si>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</si>
  <si>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</si>
  <si>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</si>
  <si>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</si>
  <si>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</si>
  <si>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</si>
  <si>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</si>
  <si>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</si>
  <si>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</si>
  <si>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</si>
  <si>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</si>
  <si>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</si>
  <si>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</si>
  <si>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</si>
  <si>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</si>
  <si>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</si>
  <si>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</si>
  <si>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</si>
  <si>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</si>
  <si>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</si>
  <si>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</si>
  <si>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</si>
  <si>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</si>
  <si>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</si>
  <si>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</si>
  <si>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</si>
  <si>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</si>
  <si>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</si>
  <si>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</si>
  <si>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</si>
  <si>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</si>
  <si>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</si>
  <si>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</si>
  <si>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</si>
  <si>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</si>
  <si>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</si>
  <si>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</si>
  <si>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</si>
  <si>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</si>
  <si>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</si>
  <si>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</si>
  <si>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</si>
  <si>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</si>
  <si>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</si>
  <si>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</si>
  <si>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</si>
  <si>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</si>
  <si>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</si>
  <si>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</si>
  <si>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</si>
  <si>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</si>
  <si>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</si>
  <si>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</si>
  <si>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</si>
  <si>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</si>
  <si>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</si>
  <si>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</si>
  <si>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</si>
  <si>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</si>
  <si>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</si>
  <si>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</si>
  <si>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</si>
  <si>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</si>
  <si>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</si>
  <si>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</si>
  <si>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</si>
  <si>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</si>
  <si>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</si>
  <si>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</si>
  <si>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</si>
  <si>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</si>
  <si>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</si>
  <si>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</si>
  <si>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</si>
  <si>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</si>
  <si>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</si>
  <si>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</si>
  <si>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</si>
  <si>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</si>
  <si>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</si>
  <si>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</si>
  <si>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</si>
  <si>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</si>
  <si>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</si>
  <si>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</si>
  <si>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</si>
  <si>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</si>
  <si>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</si>
  <si>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</si>
  <si>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</si>
  <si>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</si>
  <si>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</si>
  <si>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</si>
  <si>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</si>
  <si>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</si>
  <si>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</si>
  <si>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</si>
  <si>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</si>
  <si>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</si>
  <si>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</si>
  <si>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</si>
  <si>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</si>
  <si>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</si>
  <si>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</si>
  <si>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</si>
  <si>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</si>
  <si>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</si>
  <si>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</si>
  <si>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</si>
  <si>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</si>
  <si>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</si>
  <si>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</si>
  <si>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</si>
  <si>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</si>
  <si>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</si>
  <si>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</si>
  <si>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</si>
  <si>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</si>
  <si>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</si>
  <si>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</si>
  <si>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</si>
  <si>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</si>
  <si>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</si>
  <si>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</si>
  <si>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</si>
  <si>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</si>
  <si>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</si>
  <si>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</si>
  <si>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</si>
  <si>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</si>
  <si>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</si>
  <si>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</si>
  <si>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</si>
  <si>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</si>
  <si>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</si>
  <si>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</si>
  <si>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</si>
  <si>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</si>
  <si>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</si>
  <si>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</si>
  <si>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</si>
  <si>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</si>
  <si>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</si>
  <si>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</si>
  <si>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</si>
  <si>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</si>
  <si>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</si>
  <si>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</si>
  <si>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</si>
  <si>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</si>
  <si>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</si>
  <si>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</si>
  <si>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</si>
  <si>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</si>
  <si>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</si>
  <si>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</si>
  <si>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</si>
  <si>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</si>
  <si>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</si>
  <si>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</si>
  <si>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</si>
  <si>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</si>
  <si>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</si>
  <si>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</si>
  <si>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</si>
  <si>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</si>
  <si>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</si>
  <si>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</si>
  <si>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</si>
  <si>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</si>
  <si>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</si>
  <si>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</si>
  <si>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</si>
  <si>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</si>
  <si>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</si>
  <si>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</si>
  <si>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</si>
  <si>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</si>
  <si>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</si>
  <si>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</si>
  <si>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</si>
  <si>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</si>
  <si>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</si>
  <si>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</si>
  <si>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</si>
  <si>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</si>
  <si>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</si>
  <si>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</si>
  <si>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</si>
  <si>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</si>
  <si>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</si>
  <si>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</si>
  <si>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</si>
  <si>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</si>
  <si>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</si>
  <si>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</si>
  <si>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</si>
  <si>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</si>
  <si>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</si>
  <si>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</si>
  <si>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</si>
  <si>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</si>
  <si>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</si>
  <si>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</si>
  <si>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</si>
  <si>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</si>
  <si>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PROYECTO: IOARR “OPTIMIZACION MEDIANTE COBERTURA DE LA LOSA PATIO FORMACION Y CEREMONIAS DE IEP N°54408 AYRIHUANCA, DISTRITO MICAELAS BASTIDAS, PROVINCIA GRAU, DEPARTAMENTO APURIMAC"</t>
  </si>
  <si>
    <t>IOARR "OPTIMIZACION MEDIANTE COBERTURA DE LA LOSA, PATIO DE FORMACION Y CEREMONIAS IEP N°54408 AYRIHUANCA, DISTRITO MICAELA BASTIDAS,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</si>
</sst>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0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98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4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5" fillId="0" borderId="36" xfId="0" applyFont="1" applyBorder="1"/>
    <xf numFmtId="0" fontId="55" fillId="0" borderId="0" xfId="0" applyFont="1" applyBorder="1"/>
    <xf numFmtId="0" fontId="55" fillId="0" borderId="37" xfId="0" applyFont="1" applyBorder="1"/>
    <xf numFmtId="0" fontId="40" fillId="0" borderId="0" xfId="0" applyFont="1" applyFill="1" applyBorder="1"/>
    <xf numFmtId="0" fontId="56" fillId="0" borderId="0" xfId="0" applyFont="1" applyFill="1" applyBorder="1"/>
    <xf numFmtId="0" fontId="57" fillId="0" borderId="37" xfId="0" applyFont="1" applyBorder="1"/>
    <xf numFmtId="0" fontId="40" fillId="11" borderId="0" xfId="0" applyFont="1" applyFill="1" applyBorder="1"/>
    <xf numFmtId="0" fontId="56" fillId="11" borderId="0" xfId="0" applyFont="1" applyFill="1" applyBorder="1"/>
    <xf numFmtId="0" fontId="58" fillId="0" borderId="0" xfId="0" applyFont="1" applyFill="1" applyBorder="1"/>
    <xf numFmtId="0" fontId="56" fillId="0" borderId="0" xfId="0" applyFont="1" applyBorder="1"/>
    <xf numFmtId="0" fontId="59" fillId="0" borderId="0" xfId="0" applyFont="1" applyBorder="1"/>
    <xf numFmtId="4" fontId="59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8" fillId="0" borderId="0" xfId="0" applyFont="1" applyBorder="1"/>
    <xf numFmtId="0" fontId="60" fillId="0" borderId="0" xfId="0" applyFont="1" applyBorder="1" applyAlignment="1">
      <alignment horizontal="center"/>
    </xf>
    <xf numFmtId="172" fontId="59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0" fillId="0" borderId="0" xfId="0" applyFont="1" applyBorder="1" applyAlignment="1">
      <alignment horizontal="left"/>
    </xf>
    <xf numFmtId="0" fontId="60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6" fillId="0" borderId="0" xfId="0" applyNumberFormat="1" applyFont="1" applyBorder="1" applyAlignment="1">
      <alignment horizontal="center"/>
    </xf>
    <xf numFmtId="0" fontId="61" fillId="0" borderId="0" xfId="0" applyFont="1" applyBorder="1"/>
    <xf numFmtId="0" fontId="59" fillId="0" borderId="0" xfId="0" applyFont="1" applyBorder="1" applyAlignment="1">
      <alignment horizontal="center"/>
    </xf>
    <xf numFmtId="4" fontId="55" fillId="0" borderId="37" xfId="0" applyNumberFormat="1" applyFont="1" applyBorder="1"/>
    <xf numFmtId="0" fontId="49" fillId="0" borderId="0" xfId="0" applyFont="1" applyBorder="1"/>
    <xf numFmtId="2" fontId="58" fillId="0" borderId="0" xfId="0" applyNumberFormat="1" applyFont="1" applyBorder="1" applyAlignment="1">
      <alignment horizontal="left"/>
    </xf>
    <xf numFmtId="10" fontId="62" fillId="0" borderId="0" xfId="0" applyNumberFormat="1" applyFont="1" applyBorder="1"/>
    <xf numFmtId="172" fontId="59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5" fillId="0" borderId="0" xfId="0" applyFont="1" applyBorder="1" applyAlignment="1">
      <alignment horizontal="left"/>
    </xf>
    <xf numFmtId="0" fontId="55" fillId="11" borderId="0" xfId="0" applyFont="1" applyFill="1" applyBorder="1"/>
    <xf numFmtId="10" fontId="59" fillId="11" borderId="0" xfId="0" applyNumberFormat="1" applyFont="1" applyFill="1" applyBorder="1"/>
    <xf numFmtId="0" fontId="59" fillId="0" borderId="0" xfId="0" applyFont="1" applyBorder="1" applyAlignment="1">
      <alignment horizontal="left"/>
    </xf>
    <xf numFmtId="172" fontId="55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2" fillId="11" borderId="0" xfId="0" applyFont="1" applyFill="1" applyBorder="1"/>
    <xf numFmtId="10" fontId="59" fillId="0" borderId="0" xfId="0" applyNumberFormat="1" applyFont="1" applyBorder="1"/>
    <xf numFmtId="4" fontId="52" fillId="0" borderId="0" xfId="0" applyNumberFormat="1" applyFont="1"/>
    <xf numFmtId="0" fontId="63" fillId="0" borderId="0" xfId="0" applyFont="1" applyFill="1" applyBorder="1"/>
    <xf numFmtId="0" fontId="64" fillId="0" borderId="0" xfId="0" applyFont="1" applyFill="1" applyBorder="1" applyAlignment="1">
      <alignment horizontal="center"/>
    </xf>
    <xf numFmtId="4" fontId="63" fillId="0" borderId="37" xfId="0" applyNumberFormat="1" applyFont="1" applyFill="1" applyBorder="1"/>
    <xf numFmtId="0" fontId="53" fillId="0" borderId="0" xfId="0" applyFont="1"/>
    <xf numFmtId="0" fontId="65" fillId="0" borderId="0" xfId="0" applyFont="1" applyFill="1" applyBorder="1"/>
    <xf numFmtId="0" fontId="66" fillId="13" borderId="0" xfId="0" applyFont="1" applyFill="1" applyBorder="1"/>
    <xf numFmtId="0" fontId="67" fillId="13" borderId="0" xfId="0" applyFont="1" applyFill="1" applyBorder="1" applyAlignment="1">
      <alignment horizontal="center"/>
    </xf>
    <xf numFmtId="172" fontId="66" fillId="13" borderId="37" xfId="0" applyNumberFormat="1" applyFont="1" applyFill="1" applyBorder="1" applyAlignment="1">
      <alignment horizontal="center"/>
    </xf>
    <xf numFmtId="0" fontId="55" fillId="0" borderId="37" xfId="0" applyFont="1" applyBorder="1" applyAlignment="1">
      <alignment horizontal="right"/>
    </xf>
    <xf numFmtId="0" fontId="66" fillId="0" borderId="0" xfId="0" applyFont="1" applyFill="1" applyBorder="1"/>
    <xf numFmtId="0" fontId="67" fillId="0" borderId="0" xfId="0" applyFont="1" applyFill="1" applyBorder="1" applyAlignment="1">
      <alignment horizontal="center"/>
    </xf>
    <xf numFmtId="172" fontId="66" fillId="11" borderId="37" xfId="0" applyNumberFormat="1" applyFont="1" applyFill="1" applyBorder="1" applyAlignment="1">
      <alignment horizontal="center"/>
    </xf>
    <xf numFmtId="172" fontId="68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5" fillId="0" borderId="38" xfId="0" applyFont="1" applyBorder="1"/>
    <xf numFmtId="0" fontId="55" fillId="0" borderId="25" xfId="0" applyFont="1" applyBorder="1"/>
    <xf numFmtId="0" fontId="55" fillId="0" borderId="39" xfId="0" applyFont="1" applyBorder="1" applyAlignment="1">
      <alignment horizontal="left"/>
    </xf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3" fontId="0" fillId="0" borderId="0" xfId="0" applyNumberFormat="1"/>
    <xf numFmtId="166" fontId="1" fillId="0" borderId="0" xfId="0" applyNumberFormat="1" applyFont="1" applyFill="1" applyAlignment="1" applyProtection="1">
      <alignment horizontal="left" vertical="center"/>
    </xf>
    <xf numFmtId="172" fontId="55" fillId="11" borderId="0" xfId="0" applyNumberFormat="1" applyFont="1" applyFill="1" applyBorder="1" applyAlignment="1">
      <alignment horizontal="center"/>
    </xf>
    <xf numFmtId="0" fontId="69" fillId="11" borderId="45" xfId="0" applyFont="1" applyFill="1" applyBorder="1" applyAlignment="1">
      <alignment horizontal="center" vertical="center" wrapText="1"/>
    </xf>
    <xf numFmtId="0" fontId="69" fillId="11" borderId="46" xfId="0" applyFont="1" applyFill="1" applyBorder="1" applyAlignment="1">
      <alignment horizontal="center" vertical="center" wrapText="1"/>
    </xf>
    <xf numFmtId="0" fontId="69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2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17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xmlns="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J31"/>
  <sheetViews>
    <sheetView tabSelected="1" view="pageBreakPreview" zoomScale="98" zoomScaleNormal="100" zoomScaleSheetLayoutView="98" workbookViewId="0">
      <selection activeCell="F15" sqref="F15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4" t="s">
        <v>653</v>
      </c>
      <c r="C1" s="435"/>
      <c r="D1" s="435"/>
      <c r="E1" s="435"/>
      <c r="F1" s="435"/>
      <c r="G1" s="436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152550.84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7" t="s">
        <v>375</v>
      </c>
      <c r="D8" s="437"/>
      <c r="E8" s="437"/>
      <c r="F8" s="437"/>
      <c r="G8" s="438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152550.84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152550.84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0.41310000000000002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215568.62333333332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0.41309365017808702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215568.62333333332</v>
      </c>
      <c r="H16" s="362"/>
    </row>
    <row r="17" spans="2:10">
      <c r="B17" s="366"/>
      <c r="C17" s="367"/>
      <c r="D17" s="367"/>
      <c r="E17" s="367"/>
      <c r="F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F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7.1736135625303662E-2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231032.68833333332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4.328391827208463E-2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0.10804315259486405</v>
      </c>
      <c r="F24" s="367"/>
      <c r="G24" s="402">
        <f>Supervision!G158</f>
        <v>24961.5</v>
      </c>
      <c r="H24" s="362"/>
      <c r="I24" s="363"/>
      <c r="J24" s="431">
        <f>G24/G16</f>
        <v>0.11579375334879828</v>
      </c>
    </row>
    <row r="25" spans="2:10">
      <c r="B25" s="366"/>
      <c r="C25" s="367"/>
      <c r="D25" s="399" t="s">
        <v>138</v>
      </c>
      <c r="E25" s="400">
        <f>G25/G21</f>
        <v>7.4841140986304733E-2</v>
      </c>
      <c r="F25" s="367"/>
      <c r="G25" s="433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283284.93833333335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>
      <c r="D29" s="362"/>
    </row>
    <row r="31" spans="2:10">
      <c r="G31" s="405"/>
    </row>
  </sheetData>
  <mergeCells count="2">
    <mergeCell ref="B1:G1"/>
    <mergeCell ref="C8:G8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39" t="s">
        <v>1</v>
      </c>
      <c r="B3" s="440"/>
      <c r="C3" s="440"/>
      <c r="D3" s="440"/>
      <c r="E3" s="440"/>
      <c r="F3" s="440"/>
      <c r="G3" s="440"/>
      <c r="H3" s="440"/>
      <c r="I3" s="440"/>
      <c r="J3" s="440"/>
      <c r="K3" s="441"/>
    </row>
    <row r="4" spans="1:11" s="18" customFormat="1" ht="27" customHeight="1">
      <c r="A4" s="442" t="s">
        <v>125</v>
      </c>
      <c r="B4" s="443"/>
      <c r="C4" s="443"/>
      <c r="D4" s="443"/>
      <c r="E4" s="443"/>
      <c r="F4" s="443"/>
      <c r="G4" s="443"/>
      <c r="H4" s="443"/>
      <c r="I4" s="443"/>
      <c r="J4" s="443"/>
      <c r="K4" s="444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50" t="s">
        <v>325</v>
      </c>
      <c r="B7" s="450"/>
      <c r="C7" s="450"/>
      <c r="D7" s="450"/>
      <c r="E7" s="450"/>
      <c r="F7" s="450"/>
      <c r="G7" s="450"/>
      <c r="H7" s="450"/>
      <c r="I7" s="450"/>
      <c r="J7" s="450"/>
      <c r="K7" s="450"/>
    </row>
    <row r="8" spans="1:11" s="18" customFormat="1" ht="42" customHeight="1">
      <c r="A8" s="451" t="s">
        <v>648</v>
      </c>
      <c r="B8" s="451"/>
      <c r="C8" s="451"/>
      <c r="D8" s="451"/>
      <c r="E8" s="451"/>
      <c r="F8" s="451"/>
      <c r="G8" s="451"/>
      <c r="H8" s="451"/>
      <c r="I8" s="451"/>
      <c r="J8" s="451"/>
      <c r="K8" s="451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2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49" t="str">
        <f>+A8</f>
        <v>“OPTIMIZACIÓN  DE COBERTURA METALICA Y TRIBUNA DE LA IE No. 550006 BELEN DE OSMA Y PARDO, PROVINCIA DE ANDAHUAYLAS-REGION APURIMAC"</v>
      </c>
      <c r="D13" s="449"/>
      <c r="E13" s="449"/>
      <c r="F13" s="449"/>
      <c r="G13" s="449"/>
      <c r="H13" s="449"/>
      <c r="I13" s="449"/>
      <c r="J13" s="449"/>
      <c r="K13" s="449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45" t="s">
        <v>3</v>
      </c>
      <c r="B21" s="446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47" t="s">
        <v>84</v>
      </c>
      <c r="B22" s="448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55" t="s">
        <v>70</v>
      </c>
      <c r="B3" s="455"/>
      <c r="C3" s="455"/>
      <c r="D3" s="455"/>
      <c r="E3" s="455"/>
      <c r="F3" s="455"/>
      <c r="G3" s="455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49" t="str">
        <f>+'R'!C13</f>
        <v>“OPTIMIZACIÓN  DE COBERTURA METALICA Y TRIBUNA DE LA IE No. 550006 BELEN DE OSMA Y PARDO, PROVINCIA DE ANDAHUAYLAS-REGION APURIMAC"</v>
      </c>
      <c r="D11" s="449"/>
      <c r="E11" s="449"/>
      <c r="F11" s="449"/>
      <c r="G11" s="449"/>
      <c r="H11" s="179"/>
    </row>
    <row r="12" spans="1:8" ht="18" customHeight="1">
      <c r="A12" s="28"/>
      <c r="B12" s="296"/>
      <c r="C12" s="449"/>
      <c r="D12" s="449"/>
      <c r="E12" s="449"/>
      <c r="F12" s="449"/>
      <c r="G12" s="449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64" t="s">
        <v>37</v>
      </c>
      <c r="D15" s="458"/>
      <c r="E15" s="458"/>
      <c r="F15" s="459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57" t="s">
        <v>73</v>
      </c>
      <c r="C20" s="458"/>
      <c r="D20" s="458"/>
      <c r="E20" s="458"/>
      <c r="F20" s="459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50" t="s">
        <v>42</v>
      </c>
      <c r="B26" s="456"/>
      <c r="C26" s="456"/>
      <c r="D26" s="456"/>
      <c r="E26" s="456"/>
      <c r="F26" s="456"/>
      <c r="G26" s="456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50" t="s">
        <v>10</v>
      </c>
      <c r="B28" s="450"/>
      <c r="C28" s="450"/>
      <c r="D28" s="450"/>
      <c r="E28" s="450"/>
      <c r="F28" s="450"/>
      <c r="G28" s="450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7" t="s">
        <v>307</v>
      </c>
      <c r="C38" s="61" t="s">
        <v>156</v>
      </c>
      <c r="D38" s="426">
        <v>64.400000000000006</v>
      </c>
      <c r="E38" s="426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7" t="s">
        <v>295</v>
      </c>
      <c r="C39" s="61" t="s">
        <v>156</v>
      </c>
      <c r="D39" s="426">
        <v>18235.745800000001</v>
      </c>
      <c r="E39" s="426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7" t="s">
        <v>135</v>
      </c>
      <c r="C40" s="61" t="s">
        <v>156</v>
      </c>
      <c r="D40" s="426">
        <v>7294.7867999999999</v>
      </c>
      <c r="E40" s="426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7" t="s">
        <v>136</v>
      </c>
      <c r="C41" s="61" t="s">
        <v>156</v>
      </c>
      <c r="D41" s="426">
        <v>25441.623100000001</v>
      </c>
      <c r="E41" s="426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52" t="s">
        <v>3</v>
      </c>
      <c r="C52" s="453"/>
      <c r="D52" s="453"/>
      <c r="E52" s="454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52" t="s">
        <v>3</v>
      </c>
      <c r="C62" s="453"/>
      <c r="D62" s="453"/>
      <c r="E62" s="454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52" t="s">
        <v>3</v>
      </c>
      <c r="C76" s="453"/>
      <c r="D76" s="453"/>
      <c r="E76" s="454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52" t="s">
        <v>3</v>
      </c>
      <c r="C87" s="453"/>
      <c r="D87" s="453"/>
      <c r="E87" s="454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52" t="s">
        <v>3</v>
      </c>
      <c r="C99" s="453"/>
      <c r="D99" s="453"/>
      <c r="E99" s="454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52" t="s">
        <v>3</v>
      </c>
      <c r="C111" s="453"/>
      <c r="D111" s="453"/>
      <c r="E111" s="454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52" t="s">
        <v>3</v>
      </c>
      <c r="C121" s="453"/>
      <c r="D121" s="453"/>
      <c r="E121" s="454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52" t="s">
        <v>3</v>
      </c>
      <c r="C131" s="453"/>
      <c r="D131" s="453"/>
      <c r="E131" s="454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60" t="s">
        <v>3</v>
      </c>
      <c r="C140" s="461"/>
      <c r="D140" s="461"/>
      <c r="E140" s="462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60" t="s">
        <v>3</v>
      </c>
      <c r="C152" s="461"/>
      <c r="D152" s="461"/>
      <c r="E152" s="462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60" t="s">
        <v>3</v>
      </c>
      <c r="C434" s="461"/>
      <c r="D434" s="461"/>
      <c r="E434" s="462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60" t="s">
        <v>3</v>
      </c>
      <c r="C459" s="461"/>
      <c r="D459" s="461"/>
      <c r="E459" s="462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60" t="s">
        <v>3</v>
      </c>
      <c r="C467" s="461"/>
      <c r="D467" s="461"/>
      <c r="E467" s="462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65" t="s">
        <v>73</v>
      </c>
      <c r="B471" s="465"/>
      <c r="C471" s="465"/>
      <c r="D471" s="465"/>
      <c r="E471" s="465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65"/>
      <c r="C475" s="466"/>
      <c r="D475" s="466"/>
      <c r="E475" s="466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65"/>
      <c r="B479" s="465"/>
      <c r="C479" s="465"/>
      <c r="D479" s="465"/>
      <c r="E479" s="465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63"/>
      <c r="B486" s="463"/>
      <c r="C486" s="463"/>
      <c r="D486" s="463"/>
      <c r="E486" s="463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  <mergeCell ref="B76:E76"/>
    <mergeCell ref="A3:G3"/>
    <mergeCell ref="B87:E87"/>
    <mergeCell ref="A26:G26"/>
    <mergeCell ref="B131:E131"/>
    <mergeCell ref="B121:E121"/>
    <mergeCell ref="B20:F20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zoomScale="90" zoomScaleNormal="85" zoomScaleSheetLayoutView="90" zoomScalePageLayoutView="75" workbookViewId="0">
      <selection activeCell="C10" sqref="C10:G11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77" t="s">
        <v>68</v>
      </c>
      <c r="B3" s="477"/>
      <c r="C3" s="477"/>
      <c r="D3" s="477"/>
      <c r="E3" s="477"/>
      <c r="F3" s="477"/>
      <c r="G3" s="477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78" t="s">
        <v>654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79" t="s">
        <v>37</v>
      </c>
      <c r="D14" s="479"/>
      <c r="E14" s="479"/>
      <c r="F14" s="479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80" t="s">
        <v>41</v>
      </c>
      <c r="C19" s="481"/>
      <c r="D19" s="481"/>
      <c r="E19" s="481"/>
      <c r="F19" s="481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75" t="s">
        <v>42</v>
      </c>
      <c r="B24" s="476"/>
      <c r="C24" s="476"/>
      <c r="D24" s="476"/>
      <c r="E24" s="476"/>
      <c r="F24" s="476"/>
      <c r="G24" s="476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75" t="s">
        <v>43</v>
      </c>
      <c r="B26" s="475"/>
      <c r="C26" s="475"/>
      <c r="D26" s="475"/>
      <c r="E26" s="475"/>
      <c r="F26" s="475"/>
      <c r="G26" s="475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82" t="s">
        <v>3</v>
      </c>
      <c r="C46" s="482"/>
      <c r="D46" s="482"/>
      <c r="E46" s="482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69" t="s">
        <v>3</v>
      </c>
      <c r="C66" s="470"/>
      <c r="D66" s="470"/>
      <c r="E66" s="471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72" t="s">
        <v>3</v>
      </c>
      <c r="C82" s="473"/>
      <c r="D82" s="473"/>
      <c r="E82" s="474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72" t="s">
        <v>3</v>
      </c>
      <c r="C101" s="473"/>
      <c r="D101" s="473"/>
      <c r="E101" s="474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72" t="s">
        <v>3</v>
      </c>
      <c r="C117" s="473"/>
      <c r="D117" s="473"/>
      <c r="E117" s="474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72" t="s">
        <v>3</v>
      </c>
      <c r="C135" s="473"/>
      <c r="D135" s="473"/>
      <c r="E135" s="474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68" t="s">
        <v>3</v>
      </c>
      <c r="C146" s="468"/>
      <c r="D146" s="468"/>
      <c r="E146" s="468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68" t="s">
        <v>3</v>
      </c>
      <c r="C184" s="468"/>
      <c r="D184" s="468"/>
      <c r="E184" s="468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68" t="s">
        <v>3</v>
      </c>
      <c r="C194" s="468"/>
      <c r="D194" s="468"/>
      <c r="E194" s="468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68" t="s">
        <v>3</v>
      </c>
      <c r="C201" s="468"/>
      <c r="D201" s="468"/>
      <c r="E201" s="468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67" t="s">
        <v>41</v>
      </c>
      <c r="B204" s="467"/>
      <c r="C204" s="467"/>
      <c r="D204" s="467"/>
      <c r="E204" s="467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6:G26"/>
    <mergeCell ref="A24:G24"/>
    <mergeCell ref="A3:G3"/>
    <mergeCell ref="C10:G11"/>
    <mergeCell ref="B201:E201"/>
    <mergeCell ref="C14:F14"/>
    <mergeCell ref="B19:F19"/>
    <mergeCell ref="B46:E46"/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83" t="s">
        <v>280</v>
      </c>
      <c r="B1" s="483"/>
      <c r="C1" s="483"/>
      <c r="D1" s="483"/>
      <c r="E1" s="483"/>
      <c r="F1" s="483"/>
      <c r="G1" s="483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84" t="str">
        <f>'R'!C13</f>
        <v>“OPTIMIZACIÓN  DE COBERTURA METALICA Y TRIBUNA DE LA IE No. 550006 BELEN DE OSMA Y PARDO, PROVINCIA DE ANDAHUAYLAS-REGION APURIMAC"</v>
      </c>
      <c r="D9" s="484"/>
      <c r="E9" s="484"/>
      <c r="F9" s="484"/>
      <c r="G9" s="484"/>
    </row>
    <row r="10" spans="1:7" ht="13.8">
      <c r="A10" s="70"/>
      <c r="B10" s="29"/>
      <c r="C10" s="484"/>
      <c r="D10" s="484"/>
      <c r="E10" s="484"/>
      <c r="F10" s="484"/>
      <c r="G10" s="484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79" t="s">
        <v>37</v>
      </c>
      <c r="D13" s="479"/>
      <c r="E13" s="479"/>
      <c r="F13" s="479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80" t="s">
        <v>282</v>
      </c>
      <c r="C19" s="481"/>
      <c r="D19" s="481"/>
      <c r="E19" s="481"/>
      <c r="F19" s="481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75" t="s">
        <v>42</v>
      </c>
      <c r="B23" s="476"/>
      <c r="C23" s="476"/>
      <c r="D23" s="476"/>
      <c r="E23" s="476"/>
      <c r="F23" s="476"/>
      <c r="G23" s="476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72" t="s">
        <v>3</v>
      </c>
      <c r="C38" s="473"/>
      <c r="D38" s="473"/>
      <c r="E38" s="474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86" t="s">
        <v>281</v>
      </c>
      <c r="B41" s="486"/>
      <c r="C41" s="486"/>
      <c r="D41" s="486"/>
      <c r="E41" s="486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82" t="s">
        <v>3</v>
      </c>
      <c r="C56" s="482"/>
      <c r="D56" s="482"/>
      <c r="E56" s="482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87" t="s">
        <v>3</v>
      </c>
      <c r="C68" s="487"/>
      <c r="D68" s="487"/>
      <c r="E68" s="487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68" t="s">
        <v>3</v>
      </c>
      <c r="C78" s="468"/>
      <c r="D78" s="468"/>
      <c r="E78" s="468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85" t="s">
        <v>3</v>
      </c>
      <c r="C89" s="485"/>
      <c r="D89" s="485"/>
      <c r="E89" s="485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85" t="s">
        <v>3</v>
      </c>
      <c r="C98" s="485"/>
      <c r="D98" s="485"/>
      <c r="E98" s="485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82" t="s">
        <v>3</v>
      </c>
      <c r="C109" s="482"/>
      <c r="D109" s="482"/>
      <c r="E109" s="482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68" t="s">
        <v>3</v>
      </c>
      <c r="C118" s="468"/>
      <c r="D118" s="468"/>
      <c r="E118" s="468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68" t="s">
        <v>3</v>
      </c>
      <c r="C127" s="468"/>
      <c r="D127" s="468"/>
      <c r="E127" s="468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68" t="s">
        <v>3</v>
      </c>
      <c r="C154" s="468"/>
      <c r="D154" s="468"/>
      <c r="E154" s="468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72" t="s">
        <v>3</v>
      </c>
      <c r="C162" s="473"/>
      <c r="D162" s="473"/>
      <c r="E162" s="474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72" t="s">
        <v>3</v>
      </c>
      <c r="C175" s="473"/>
      <c r="D175" s="473"/>
      <c r="E175" s="474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86" t="s">
        <v>284</v>
      </c>
      <c r="B178" s="486"/>
      <c r="C178" s="486"/>
      <c r="D178" s="486"/>
      <c r="E178" s="486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zoomScale="85" zoomScaleNormal="70" zoomScaleSheetLayoutView="85" workbookViewId="0">
      <selection activeCell="C10" sqref="C10:G11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490" t="s">
        <v>586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8" t="s">
        <v>654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9" t="s">
        <v>37</v>
      </c>
      <c r="D13" s="479"/>
      <c r="E13" s="479"/>
      <c r="F13" s="479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80" t="s">
        <v>76</v>
      </c>
      <c r="C18" s="481"/>
      <c r="D18" s="481"/>
      <c r="E18" s="481"/>
      <c r="F18" s="481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88" t="s">
        <v>42</v>
      </c>
      <c r="B23" s="489"/>
      <c r="C23" s="489"/>
      <c r="D23" s="489"/>
      <c r="E23" s="489"/>
      <c r="F23" s="489"/>
      <c r="G23" s="489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88" t="s">
        <v>69</v>
      </c>
      <c r="B25" s="488"/>
      <c r="C25" s="488"/>
      <c r="D25" s="488"/>
      <c r="E25" s="488"/>
      <c r="F25" s="488"/>
      <c r="G25" s="488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495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496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497"/>
    </row>
    <row r="40" spans="1:9" ht="12.75" customHeight="1">
      <c r="A40" s="67"/>
      <c r="B40" s="482" t="s">
        <v>3</v>
      </c>
      <c r="C40" s="482"/>
      <c r="D40" s="482"/>
      <c r="E40" s="482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87" t="s">
        <v>3</v>
      </c>
      <c r="C53" s="487"/>
      <c r="D53" s="487"/>
      <c r="E53" s="487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68" t="s">
        <v>3</v>
      </c>
      <c r="C63" s="468"/>
      <c r="D63" s="468"/>
      <c r="E63" s="468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491" t="s">
        <v>3</v>
      </c>
      <c r="C75" s="491"/>
      <c r="D75" s="491"/>
      <c r="E75" s="491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491" t="s">
        <v>3</v>
      </c>
      <c r="C85" s="491"/>
      <c r="D85" s="491"/>
      <c r="E85" s="491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492" t="s">
        <v>3</v>
      </c>
      <c r="C97" s="493"/>
      <c r="D97" s="493"/>
      <c r="E97" s="494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68" t="s">
        <v>3</v>
      </c>
      <c r="C106" s="468"/>
      <c r="D106" s="468"/>
      <c r="E106" s="468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68" t="s">
        <v>3</v>
      </c>
      <c r="C114" s="468"/>
      <c r="D114" s="468"/>
      <c r="E114" s="468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68" t="s">
        <v>3</v>
      </c>
      <c r="C138" s="468"/>
      <c r="D138" s="468"/>
      <c r="E138" s="468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68" t="s">
        <v>3</v>
      </c>
      <c r="C145" s="468"/>
      <c r="D145" s="468"/>
      <c r="E145" s="468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72" t="s">
        <v>3</v>
      </c>
      <c r="C156" s="473"/>
      <c r="D156" s="473"/>
      <c r="E156" s="474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86" t="s">
        <v>76</v>
      </c>
      <c r="B158" s="486"/>
      <c r="C158" s="486"/>
      <c r="D158" s="486"/>
      <c r="E158" s="486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  <mergeCell ref="A158:E158"/>
    <mergeCell ref="B106:E106"/>
    <mergeCell ref="B63:E63"/>
    <mergeCell ref="B53:E53"/>
    <mergeCell ref="A25:G25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B1" zoomScale="82" zoomScaleNormal="100" zoomScaleSheetLayoutView="82" workbookViewId="0">
      <selection activeCell="E16" sqref="E16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490" t="s">
        <v>143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8" t="s">
        <v>654</v>
      </c>
      <c r="D10" s="449"/>
      <c r="E10" s="449"/>
      <c r="F10" s="449"/>
      <c r="G10" s="449"/>
    </row>
    <row r="11" spans="1:7" ht="24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9" t="s">
        <v>37</v>
      </c>
      <c r="D14" s="479"/>
      <c r="E14" s="479"/>
      <c r="F14" s="479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0" t="s">
        <v>157</v>
      </c>
      <c r="C19" s="481"/>
      <c r="D19" s="481"/>
      <c r="E19" s="481"/>
      <c r="F19" s="481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5" t="s">
        <v>42</v>
      </c>
      <c r="B27" s="476"/>
      <c r="C27" s="476"/>
      <c r="D27" s="476"/>
      <c r="E27" s="476"/>
      <c r="F27" s="476"/>
      <c r="G27" s="476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5" t="s">
        <v>154</v>
      </c>
      <c r="B29" s="475"/>
      <c r="C29" s="475"/>
      <c r="D29" s="475"/>
      <c r="E29" s="475"/>
      <c r="F29" s="475"/>
      <c r="G29" s="475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82" t="s">
        <v>3</v>
      </c>
      <c r="C44" s="482"/>
      <c r="D44" s="482"/>
      <c r="E44" s="482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87" t="s">
        <v>3</v>
      </c>
      <c r="C56" s="487"/>
      <c r="D56" s="487"/>
      <c r="E56" s="487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68" t="s">
        <v>3</v>
      </c>
      <c r="C66" s="468"/>
      <c r="D66" s="468"/>
      <c r="E66" s="468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85" t="s">
        <v>3</v>
      </c>
      <c r="C77" s="485"/>
      <c r="D77" s="485"/>
      <c r="E77" s="485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85" t="s">
        <v>3</v>
      </c>
      <c r="C86" s="485"/>
      <c r="D86" s="485"/>
      <c r="E86" s="485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82" t="s">
        <v>3</v>
      </c>
      <c r="C97" s="482"/>
      <c r="D97" s="482"/>
      <c r="E97" s="482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68" t="s">
        <v>3</v>
      </c>
      <c r="C106" s="468"/>
      <c r="D106" s="468"/>
      <c r="E106" s="468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68" t="s">
        <v>3</v>
      </c>
      <c r="C123" s="468"/>
      <c r="D123" s="468"/>
      <c r="E123" s="468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68" t="s">
        <v>3</v>
      </c>
      <c r="C132" s="468"/>
      <c r="D132" s="468"/>
      <c r="E132" s="468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72" t="s">
        <v>3</v>
      </c>
      <c r="C139" s="473"/>
      <c r="D139" s="473"/>
      <c r="E139" s="474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72" t="s">
        <v>3</v>
      </c>
      <c r="C151" s="473"/>
      <c r="D151" s="473"/>
      <c r="E151" s="474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86" t="s">
        <v>157</v>
      </c>
      <c r="B154" s="486"/>
      <c r="C154" s="486"/>
      <c r="D154" s="486"/>
      <c r="E154" s="486"/>
      <c r="F154" s="87" t="s">
        <v>0</v>
      </c>
      <c r="G154" s="164">
        <f>+G19</f>
        <v>17290.75</v>
      </c>
      <c r="I154" s="63">
        <f>RESUMEN!G27</f>
        <v>283284.93833333335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  <mergeCell ref="A3:G3"/>
    <mergeCell ref="B77:E77"/>
    <mergeCell ref="A29:G29"/>
    <mergeCell ref="C14:F14"/>
    <mergeCell ref="B19:F19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83" t="s">
        <v>169</v>
      </c>
      <c r="B1" s="483"/>
      <c r="C1" s="483"/>
      <c r="D1" s="483"/>
      <c r="E1" s="483"/>
      <c r="F1" s="483"/>
      <c r="G1" s="483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84" t="str">
        <f>'R'!C13</f>
        <v>“OPTIMIZACIÓN  DE COBERTURA METALICA Y TRIBUNA DE LA IE No. 550006 BELEN DE OSMA Y PARDO, PROVINCIA DE ANDAHUAYLAS-REGION APURIMAC"</v>
      </c>
      <c r="D9" s="484"/>
      <c r="E9" s="484"/>
      <c r="F9" s="484"/>
      <c r="G9" s="484"/>
    </row>
    <row r="10" spans="1:7" ht="18" customHeight="1">
      <c r="B10" s="29"/>
      <c r="C10" s="484"/>
      <c r="D10" s="484"/>
      <c r="E10" s="484"/>
      <c r="F10" s="484"/>
      <c r="G10" s="484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9" t="s">
        <v>37</v>
      </c>
      <c r="D13" s="479"/>
      <c r="E13" s="479"/>
      <c r="F13" s="479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80" t="s">
        <v>263</v>
      </c>
      <c r="C18" s="481"/>
      <c r="D18" s="481"/>
      <c r="E18" s="481"/>
      <c r="F18" s="481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75" t="s">
        <v>42</v>
      </c>
      <c r="B22" s="476"/>
      <c r="C22" s="476"/>
      <c r="D22" s="476"/>
      <c r="E22" s="476"/>
      <c r="F22" s="476"/>
      <c r="G22" s="476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75" t="s">
        <v>261</v>
      </c>
      <c r="B24" s="475"/>
      <c r="C24" s="475"/>
      <c r="D24" s="475"/>
      <c r="E24" s="475"/>
      <c r="F24" s="475"/>
      <c r="G24" s="475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82" t="s">
        <v>3</v>
      </c>
      <c r="C37" s="482"/>
      <c r="D37" s="482"/>
      <c r="E37" s="482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87" t="s">
        <v>3</v>
      </c>
      <c r="C49" s="487"/>
      <c r="D49" s="487"/>
      <c r="E49" s="487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68" t="s">
        <v>3</v>
      </c>
      <c r="C59" s="468"/>
      <c r="D59" s="468"/>
      <c r="E59" s="468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491" t="s">
        <v>3</v>
      </c>
      <c r="C70" s="491"/>
      <c r="D70" s="491"/>
      <c r="E70" s="491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491" t="s">
        <v>3</v>
      </c>
      <c r="C79" s="491"/>
      <c r="D79" s="491"/>
      <c r="E79" s="491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82" t="s">
        <v>3</v>
      </c>
      <c r="C90" s="482"/>
      <c r="D90" s="482"/>
      <c r="E90" s="482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68" t="s">
        <v>3</v>
      </c>
      <c r="C176" s="468"/>
      <c r="D176" s="468"/>
      <c r="E176" s="468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68" t="s">
        <v>3</v>
      </c>
      <c r="C186" s="468"/>
      <c r="D186" s="468"/>
      <c r="E186" s="468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72" t="s">
        <v>3</v>
      </c>
      <c r="C197" s="473"/>
      <c r="D197" s="473"/>
      <c r="E197" s="474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86" t="s">
        <v>262</v>
      </c>
      <c r="B200" s="486"/>
      <c r="C200" s="486"/>
      <c r="D200" s="486"/>
      <c r="E200" s="486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zoomScale="106" zoomScaleNormal="100" zoomScaleSheetLayoutView="106" workbookViewId="0">
      <selection activeCell="D22" sqref="D22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490" t="s">
        <v>587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8" t="s">
        <v>654</v>
      </c>
      <c r="D10" s="449"/>
      <c r="E10" s="449"/>
      <c r="F10" s="449"/>
      <c r="G10" s="449"/>
    </row>
    <row r="11" spans="1:7" ht="22.95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9" t="s">
        <v>37</v>
      </c>
      <c r="D14" s="479"/>
      <c r="E14" s="479"/>
      <c r="F14" s="479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0" t="s">
        <v>589</v>
      </c>
      <c r="C19" s="481"/>
      <c r="D19" s="481"/>
      <c r="E19" s="481"/>
      <c r="F19" s="481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5" t="s">
        <v>42</v>
      </c>
      <c r="B27" s="476"/>
      <c r="C27" s="476"/>
      <c r="D27" s="476"/>
      <c r="E27" s="476"/>
      <c r="F27" s="476"/>
      <c r="G27" s="476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5" t="s">
        <v>588</v>
      </c>
      <c r="B29" s="475"/>
      <c r="C29" s="475"/>
      <c r="D29" s="475"/>
      <c r="E29" s="475"/>
      <c r="F29" s="475"/>
      <c r="G29" s="475"/>
    </row>
    <row r="30" spans="1:10" ht="27" customHeight="1">
      <c r="A30" s="428"/>
      <c r="B30" s="428"/>
      <c r="C30" s="428"/>
      <c r="D30" s="428"/>
      <c r="E30" s="428"/>
      <c r="F30" s="428"/>
      <c r="G30" s="428"/>
    </row>
    <row r="31" spans="1:10" ht="27" customHeight="1">
      <c r="A31" s="428"/>
      <c r="B31" s="428"/>
      <c r="C31" s="428"/>
      <c r="D31" s="428"/>
      <c r="E31" s="428"/>
      <c r="F31" s="428"/>
      <c r="G31" s="428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29" t="s">
        <v>46</v>
      </c>
      <c r="D41" s="429" t="s">
        <v>47</v>
      </c>
      <c r="E41" s="429" t="s">
        <v>14</v>
      </c>
      <c r="F41" s="429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82" t="s">
        <v>3</v>
      </c>
      <c r="C44" s="482"/>
      <c r="D44" s="482"/>
      <c r="E44" s="482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29" t="s">
        <v>46</v>
      </c>
      <c r="D53" s="429" t="s">
        <v>47</v>
      </c>
      <c r="E53" s="429" t="s">
        <v>14</v>
      </c>
      <c r="F53" s="429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87" t="s">
        <v>3</v>
      </c>
      <c r="C56" s="487"/>
      <c r="D56" s="487"/>
      <c r="E56" s="487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29" t="s">
        <v>46</v>
      </c>
      <c r="D63" s="429" t="s">
        <v>47</v>
      </c>
      <c r="E63" s="429" t="s">
        <v>14</v>
      </c>
      <c r="F63" s="429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68" t="s">
        <v>3</v>
      </c>
      <c r="C66" s="468"/>
      <c r="D66" s="468"/>
      <c r="E66" s="468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29" t="s">
        <v>46</v>
      </c>
      <c r="D74" s="429" t="s">
        <v>47</v>
      </c>
      <c r="E74" s="429" t="s">
        <v>14</v>
      </c>
      <c r="F74" s="429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85" t="s">
        <v>3</v>
      </c>
      <c r="C77" s="485"/>
      <c r="D77" s="485"/>
      <c r="E77" s="485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29" t="s">
        <v>46</v>
      </c>
      <c r="D83" s="429" t="s">
        <v>47</v>
      </c>
      <c r="E83" s="429" t="s">
        <v>14</v>
      </c>
      <c r="F83" s="429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85" t="s">
        <v>3</v>
      </c>
      <c r="C86" s="485"/>
      <c r="D86" s="485"/>
      <c r="E86" s="485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29" t="s">
        <v>46</v>
      </c>
      <c r="D94" s="429" t="s">
        <v>47</v>
      </c>
      <c r="E94" s="429" t="s">
        <v>14</v>
      </c>
      <c r="F94" s="429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82" t="s">
        <v>3</v>
      </c>
      <c r="C97" s="482"/>
      <c r="D97" s="482"/>
      <c r="E97" s="482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68" t="s">
        <v>3</v>
      </c>
      <c r="C106" s="468"/>
      <c r="D106" s="468"/>
      <c r="E106" s="468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0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29" t="s">
        <v>63</v>
      </c>
      <c r="D110" s="429" t="s">
        <v>25</v>
      </c>
      <c r="E110" s="429" t="s">
        <v>5</v>
      </c>
      <c r="F110" s="429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68" t="s">
        <v>3</v>
      </c>
      <c r="C123" s="468"/>
      <c r="D123" s="468"/>
      <c r="E123" s="468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68" t="s">
        <v>3</v>
      </c>
      <c r="C132" s="468"/>
      <c r="D132" s="468"/>
      <c r="E132" s="468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29" t="s">
        <v>63</v>
      </c>
      <c r="D135" s="429" t="s">
        <v>25</v>
      </c>
      <c r="E135" s="429" t="s">
        <v>5</v>
      </c>
      <c r="F135" s="429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72" t="s">
        <v>3</v>
      </c>
      <c r="C139" s="473"/>
      <c r="D139" s="473"/>
      <c r="E139" s="474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0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29" t="s">
        <v>63</v>
      </c>
      <c r="D147" s="429" t="s">
        <v>25</v>
      </c>
      <c r="E147" s="429" t="s">
        <v>5</v>
      </c>
      <c r="F147" s="429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72" t="s">
        <v>3</v>
      </c>
      <c r="C151" s="473"/>
      <c r="D151" s="473"/>
      <c r="E151" s="474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86" t="s">
        <v>589</v>
      </c>
      <c r="B154" s="486"/>
      <c r="C154" s="486"/>
      <c r="D154" s="486"/>
      <c r="E154" s="486"/>
      <c r="F154" s="87" t="s">
        <v>0</v>
      </c>
      <c r="G154" s="164">
        <f>+G19</f>
        <v>15464.06</v>
      </c>
      <c r="I154" s="63">
        <f>RESUMEN!G27</f>
        <v>283284.93833333335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29:G29"/>
    <mergeCell ref="A3:G3"/>
    <mergeCell ref="C10:G11"/>
    <mergeCell ref="C14:F14"/>
    <mergeCell ref="B19:F19"/>
    <mergeCell ref="A27:G27"/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751</cp:lastModifiedBy>
  <cp:lastPrinted>2020-07-23T19:00:45Z</cp:lastPrinted>
  <dcterms:created xsi:type="dcterms:W3CDTF">2003-01-21T17:07:22Z</dcterms:created>
  <dcterms:modified xsi:type="dcterms:W3CDTF">2020-07-29T23:34:40Z</dcterms:modified>
</cp:coreProperties>
</file>