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positorioORFEI\HIPOLITO PERSONAL\IOARR0006-AYRIHUANCA\7.0 DESAGREGADO DE GASTOS\"/>
    </mc:Choice>
  </mc:AlternateContent>
  <xr:revisionPtr revIDLastSave="0" documentId="13_ncr:1_{82089775-DFCA-4024-8612-8037B12EBB98}" xr6:coauthVersionLast="45" xr6:coauthVersionMax="45" xr10:uidLastSave="{00000000-0000-0000-0000-000000000000}"/>
  <bookViews>
    <workbookView xWindow="-108" yWindow="-108" windowWidth="30936" windowHeight="16896" tabRatio="690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5" l="1"/>
  <c r="E24" i="25"/>
  <c r="E23" i="25"/>
  <c r="G14" i="25"/>
  <c r="G16" i="25" s="1"/>
  <c r="G21" i="25" s="1"/>
  <c r="G27" i="25" s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87" i="22" s="1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E77" i="21"/>
  <c r="E67" i="22"/>
  <c r="E88" i="21"/>
  <c r="F54" i="22"/>
  <c r="G141" i="12"/>
  <c r="E107" i="22"/>
  <c r="D92" i="11"/>
  <c r="F37" i="11"/>
  <c r="D108" i="11"/>
  <c r="D73" i="11"/>
  <c r="D134" i="11"/>
  <c r="D116" i="11"/>
  <c r="F45" i="11"/>
  <c r="D65" i="11"/>
  <c r="E96" i="22" l="1"/>
  <c r="E76" i="22"/>
  <c r="F76" i="22" s="1"/>
  <c r="F67" i="22"/>
  <c r="E66" i="22"/>
  <c r="E47" i="21"/>
  <c r="F35" i="21"/>
  <c r="F37" i="21" s="1"/>
  <c r="G28" i="21" s="1"/>
  <c r="F47" i="21"/>
  <c r="F49" i="21" s="1"/>
  <c r="E88" i="22"/>
  <c r="E108" i="22"/>
  <c r="F108" i="22" s="1"/>
  <c r="F109" i="22" s="1"/>
  <c r="G102" i="22" s="1"/>
  <c r="G100" i="22" s="1"/>
  <c r="E77" i="22"/>
  <c r="F77" i="22" s="1"/>
  <c r="F78" i="22" s="1"/>
  <c r="F55" i="22"/>
  <c r="F56" i="22" s="1"/>
  <c r="G47" i="22" s="1"/>
  <c r="F96" i="22"/>
  <c r="F98" i="22" s="1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8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J24" i="25"/>
  <c r="K19" i="11"/>
  <c r="K22" i="11" s="1"/>
  <c r="K25" i="11" s="1"/>
  <c r="G204" i="11"/>
  <c r="K16" i="10"/>
  <c r="E19" i="25" l="1"/>
  <c r="G19" i="10"/>
  <c r="E25" i="25" l="1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<sst xmlns="http://schemas.openxmlformats.org/spreadsheetml/2006/main" count="2149" uniqueCount="657">
  <si>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</si>
  <si>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</si>
  <si>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</si>
  <si>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</si>
  <si>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</si>
  <si>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</si>
  <si>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</si>
  <si>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</si>
  <si>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</si>
  <si>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</si>
  <si>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</si>
  <si>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</si>
  <si>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</si>
  <si>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</si>
  <si>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</si>
  <si>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</si>
  <si>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</si>
  <si>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</si>
  <si>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</si>
  <si>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</si>
  <si>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</si>
  <si>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</si>
  <si>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</si>
  <si>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</si>
  <si>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</si>
  <si>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</si>
  <si>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</si>
  <si>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</si>
  <si>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</si>
  <si>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</si>
  <si>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</si>
  <si>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</si>
  <si>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</si>
  <si>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</si>
  <si>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</si>
  <si>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</si>
  <si>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</si>
  <si>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</si>
  <si>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</si>
  <si>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</si>
  <si>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</si>
  <si>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</si>
  <si>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</si>
  <si>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</si>
  <si>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</si>
  <si>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</si>
  <si>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</si>
  <si>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</si>
  <si>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</si>
  <si>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</si>
  <si>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</si>
  <si>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</si>
  <si>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</si>
  <si>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</si>
  <si>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</si>
  <si>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</si>
  <si>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</si>
  <si>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</si>
  <si>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</si>
  <si>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</si>
  <si>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</si>
  <si>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</si>
  <si>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</si>
  <si>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</si>
  <si>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</si>
  <si>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</si>
  <si>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</si>
  <si>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</si>
  <si>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</si>
  <si>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</si>
  <si>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</si>
  <si>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</si>
  <si>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</si>
  <si>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</si>
  <si>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</si>
  <si>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</si>
  <si>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</si>
  <si>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</si>
  <si>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</si>
  <si>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</si>
  <si>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</si>
  <si>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</si>
  <si>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</si>
  <si>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</si>
  <si>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</si>
  <si>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</si>
  <si>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</si>
  <si>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</si>
  <si>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</si>
  <si>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</si>
  <si>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</si>
  <si>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</si>
  <si>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</si>
  <si>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</si>
  <si>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</si>
  <si>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</si>
  <si>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</si>
  <si>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</si>
  <si>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</si>
  <si>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</si>
  <si>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</si>
  <si>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</si>
  <si>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</si>
  <si>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</si>
  <si>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</si>
  <si>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</si>
  <si>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</si>
  <si>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</si>
  <si>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</si>
  <si>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</si>
  <si>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</si>
  <si>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</si>
  <si>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</si>
  <si>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</si>
  <si>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</si>
  <si>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</si>
  <si>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</si>
  <si>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</si>
  <si>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</si>
  <si>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</si>
  <si>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</si>
  <si>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</si>
  <si>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</si>
  <si>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</si>
  <si>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</si>
  <si>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</si>
  <si>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</si>
  <si>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</si>
  <si>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</si>
  <si>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</si>
  <si>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</si>
  <si>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</si>
  <si>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</si>
  <si>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</si>
  <si>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</si>
  <si>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</si>
  <si>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</si>
  <si>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</si>
  <si>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</si>
  <si>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</si>
  <si>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</si>
  <si>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</si>
  <si>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</si>
  <si>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</si>
  <si>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</si>
  <si>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</si>
  <si>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</si>
  <si>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</si>
  <si>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</si>
  <si>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</si>
  <si>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</si>
  <si>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</si>
  <si>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</si>
  <si>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</si>
  <si>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</si>
  <si>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</si>
  <si>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</si>
  <si>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</si>
  <si>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</si>
  <si>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</si>
  <si>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</si>
  <si>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</si>
  <si>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</si>
  <si>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</si>
  <si>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</si>
  <si>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</si>
  <si>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</si>
  <si>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</si>
  <si>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</si>
  <si>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</si>
  <si>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</si>
  <si>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</si>
  <si>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</si>
  <si>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</si>
  <si>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</si>
  <si>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</si>
  <si>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</si>
  <si>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</si>
  <si>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</si>
  <si>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</si>
  <si>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</si>
  <si>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</si>
  <si>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</si>
  <si>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</si>
  <si>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</si>
  <si>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</si>
  <si>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</si>
  <si>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</si>
  <si>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</si>
  <si>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</si>
  <si>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</si>
  <si>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</si>
  <si>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</si>
  <si>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</si>
  <si>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</si>
  <si>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</si>
  <si>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</si>
  <si>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</si>
  <si>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</si>
  <si>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</si>
  <si>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</si>
  <si>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</si>
  <si>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</si>
  <si>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</si>
  <si>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</si>
  <si>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</si>
  <si>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</si>
  <si>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</si>
  <si>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</si>
  <si>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</si>
  <si>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</si>
  <si>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</si>
  <si>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</si>
  <si>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</si>
  <si>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</si>
  <si>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</si>
  <si>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</si>
  <si>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</si>
  <si>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</si>
  <si>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</si>
  <si>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</si>
  <si>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</si>
  <si>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</si>
  <si>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</si>
  <si>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</si>
  <si>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</si>
  <si>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</si>
  <si>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</si>
  <si>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</si>
  <si>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</si>
  <si>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</si>
  <si>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</si>
  <si>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</si>
  <si>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</si>
  <si>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</si>
  <si>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</si>
  <si>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</si>
  <si>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</si>
  <si>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</si>
  <si>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</si>
  <si>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</si>
  <si>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</si>
  <si>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</si>
  <si>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</si>
  <si>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</si>
  <si>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</si>
  <si>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</si>
  <si>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</si>
  <si>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</si>
  <si>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</si>
  <si>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</si>
  <si>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</si>
  <si>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</si>
  <si>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</si>
  <si>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</si>
  <si>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</si>
  <si>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</si>
  <si>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</si>
  <si>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</si>
  <si>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</si>
  <si>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</si>
  <si>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</si>
  <si>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</si>
  <si>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</si>
  <si>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</si>
  <si>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</si>
  <si>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</si>
  <si>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</si>
  <si>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</si>
  <si>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</si>
  <si>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</si>
  <si>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</si>
  <si>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</si>
  <si>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</si>
  <si>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</si>
  <si>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</si>
  <si>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</si>
  <si>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</si>
  <si>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</si>
  <si>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</si>
  <si>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</si>
  <si>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</si>
  <si>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</si>
  <si>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</si>
  <si>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</si>
  <si>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</si>
  <si>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</si>
  <si>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</si>
  <si>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</si>
  <si>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</si>
  <si>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</si>
  <si>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</si>
  <si>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</si>
  <si>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</si>
  <si>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</si>
  <si>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</si>
  <si>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</si>
  <si>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</si>
  <si>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</si>
  <si>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</si>
  <si>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</si>
  <si>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</si>
  <si>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</si>
  <si>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</si>
  <si>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</si>
  <si>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</si>
  <si>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</si>
  <si>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</si>
  <si>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</si>
  <si>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</si>
  <si>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</si>
  <si>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</si>
  <si>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</si>
  <si>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</si>
  <si>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</si>
  <si>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</si>
  <si>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</si>
  <si>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</si>
  <si>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</si>
  <si>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</si>
  <si>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</si>
  <si>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</si>
  <si>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</si>
  <si>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</si>
  <si>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</si>
  <si>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</si>
  <si>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</si>
  <si>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</si>
  <si>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</si>
  <si>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</si>
  <si>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</si>
  <si>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</si>
  <si>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</si>
  <si>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</si>
  <si>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</si>
  <si>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</si>
  <si>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</si>
  <si>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</si>
  <si>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</si>
  <si>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</si>
  <si>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</si>
  <si>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</si>
  <si>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</si>
  <si>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</si>
  <si>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</si>
  <si>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</si>
  <si>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</si>
  <si>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</si>
  <si>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</si>
  <si>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</si>
  <si>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</si>
  <si>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</si>
  <si>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</si>
  <si>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</si>
  <si>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</si>
  <si>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</si>
  <si>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</si>
  <si>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</si>
  <si>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</si>
  <si>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</si>
  <si>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</si>
  <si>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</si>
  <si>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</si>
  <si>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</si>
  <si>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</si>
  <si>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</si>
  <si>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</si>
  <si>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</si>
  <si>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</si>
  <si>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</si>
  <si>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</si>
  <si>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</si>
  <si>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</si>
  <si>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</si>
  <si>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</si>
  <si>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</si>
  <si>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</si>
  <si>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</si>
  <si>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</si>
  <si>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</si>
  <si>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</si>
  <si>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</si>
  <si>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</si>
  <si>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</si>
  <si>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</si>
  <si>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</si>
  <si>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</si>
  <si>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</si>
  <si>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</si>
  <si>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</si>
  <si>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</si>
  <si>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</si>
  <si>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</si>
  <si>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</si>
  <si>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</si>
  <si>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</si>
  <si>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</si>
  <si>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</si>
  <si>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</si>
  <si>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</si>
  <si>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</si>
  <si>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</si>
  <si>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</si>
  <si>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</si>
  <si>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</si>
  <si>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</si>
  <si>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</si>
  <si>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</si>
  <si>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</si>
  <si>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</si>
  <si>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</si>
  <si>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</si>
  <si>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</si>
  <si>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</si>
  <si>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</si>
  <si>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</si>
  <si>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</si>
  <si>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</si>
  <si>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</si>
  <si>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</si>
  <si>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</si>
  <si>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</si>
  <si>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</si>
  <si>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</si>
  <si>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</si>
  <si>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</si>
  <si>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</si>
  <si>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</si>
  <si>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</si>
  <si>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</si>
  <si>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</si>
  <si>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</si>
  <si>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</si>
  <si>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</si>
  <si>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</si>
  <si>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</si>
  <si>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</si>
  <si>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</si>
  <si>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</si>
  <si>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</si>
  <si>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</si>
  <si>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</si>
  <si>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</si>
  <si>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</si>
  <si>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</si>
  <si>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</si>
  <si>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</si>
  <si>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</si>
  <si>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</si>
  <si>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</si>
  <si>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</si>
  <si>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</si>
  <si>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</si>
  <si>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</si>
  <si>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</si>
  <si>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</si>
  <si>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</si>
  <si>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</si>
  <si>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</si>
  <si>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</si>
  <si>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</si>
  <si>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</si>
  <si>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</si>
  <si>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</si>
  <si>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</si>
  <si>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</si>
  <si>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</si>
  <si>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</si>
  <si>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</si>
  <si>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</si>
  <si>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</si>
  <si>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</si>
  <si>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</si>
  <si>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</si>
  <si>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</si>
  <si>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</si>
  <si>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</si>
  <si>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</si>
  <si>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</si>
  <si>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</si>
  <si>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</si>
  <si>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</si>
  <si>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</si>
  <si>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</si>
  <si>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</si>
  <si>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</si>
  <si>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</si>
  <si>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</si>
  <si>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</si>
  <si>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</si>
  <si>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</si>
  <si>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</si>
  <si>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</si>
  <si>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</si>
  <si>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</si>
  <si>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</si>
  <si>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</si>
  <si>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</si>
  <si>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</si>
  <si>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</si>
  <si>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</si>
  <si>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</si>
  <si>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</si>
  <si>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</si>
  <si>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</si>
  <si>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</si>
  <si>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</si>
  <si>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</si>
  <si>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</si>
  <si>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</si>
  <si>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</si>
  <si>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</si>
  <si>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</si>
  <si>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</si>
  <si>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</si>
  <si>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</si>
  <si>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</si>
  <si>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</si>
  <si>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</si>
  <si>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</si>
  <si>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</si>
  <si>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</si>
  <si>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</si>
  <si>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</si>
  <si>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</si>
  <si>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</si>
  <si>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</si>
  <si>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</si>
  <si>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</si>
  <si>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</si>
  <si>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</si>
  <si>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</si>
  <si>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</si>
  <si>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</si>
  <si>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</si>
  <si>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</si>
  <si>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</si>
  <si>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</si>
  <si>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</si>
  <si>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</si>
  <si>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</si>
  <si>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</si>
  <si>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</si>
  <si>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</si>
  <si>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</si>
  <si>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</si>
  <si>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</si>
  <si>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</si>
  <si>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</si>
  <si>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</si>
  <si>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</si>
  <si>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</si>
  <si>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</si>
  <si>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</si>
  <si>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</si>
  <si>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</si>
  <si>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</si>
  <si>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</si>
  <si>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</si>
  <si>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</si>
  <si>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</si>
  <si>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</si>
  <si>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</si>
  <si>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</si>
  <si>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</si>
  <si>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</si>
  <si>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</si>
  <si>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</si>
  <si>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</si>
  <si>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</si>
  <si>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</si>
  <si>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</si>
  <si>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</si>
  <si>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</si>
  <si>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</si>
  <si>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</si>
  <si>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</si>
  <si>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</si>
  <si>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</si>
  <si>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</si>
  <si>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</si>
  <si>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</si>
  <si>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</si>
  <si>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</si>
  <si>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</si>
  <si>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</si>
  <si>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</si>
  <si>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</si>
  <si>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</si>
  <si>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</si>
  <si>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</si>
  <si>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</si>
  <si>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</si>
  <si>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</si>
  <si>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</si>
  <si>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</si>
  <si>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</si>
  <si>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</si>
  <si>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</si>
  <si>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</si>
  <si>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</si>
  <si>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</si>
  <si>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</si>
  <si>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</si>
  <si>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</si>
  <si>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</si>
  <si>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</si>
  <si>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</si>
  <si>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</si>
  <si>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</si>
  <si>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</si>
  <si>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</si>
  <si>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</si>
  <si>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</si>
  <si>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</si>
  <si>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</si>
  <si>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</si>
  <si>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</si>
  <si>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</si>
  <si>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</si>
  <si>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</si>
  <si>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</si>
  <si>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</si>
  <si>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</si>
  <si>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</si>
  <si>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</si>
  <si>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</si>
  <si>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</si>
  <si>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</si>
  <si>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</si>
  <si>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</si>
  <si>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</si>
  <si>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</si>
  <si>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</si>
  <si>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</si>
  <si>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</si>
  <si>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</si>
  <si>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</si>
  <si>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</si>
  <si>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</si>
  <si>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</si>
  <si>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</si>
  <si>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</si>
  <si>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</si>
  <si>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</si>
  <si>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</si>
  <si>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</si>
  <si>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</si>
  <si>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</si>
  <si>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</si>
  <si>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</si>
  <si>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</si>
  <si>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</si>
  <si>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 xml:space="preserve"> IOARR:   “OPTIMIZACION MEDIANTE COBERTURA DEL PATIO DE HONOR Y FORMACION DE LA IEP N°54408 AYRIHUANCA, DISTRITO MICAELAS BASTIDAS, PROVINCIA GRAU, DEPARTAMENTO APURIMAC"</t>
  </si>
  <si>
    <t>IOARR“OPTIMIZACION MEDIANTE COBERTURA DEL PATIO DE HONOR Y FORMACION DE LA IEP N°54408 AYRIHUANCA, DISTRITO MICAELAS BASTIDAS, PROVINCIA GRAU, DEPARTAMENTO APURIMAC"</t>
  </si>
  <si>
    <t>IOARR "“OPTIMIZACION MEDIANTE COBERTURA DEL PATIO DE HONOR Y FORMACION DE LA IEP N°54408 AYRIHUANCA, DISTRITO MICAELAS BASTIDAS, PROVINCIA GRAU, DEPARTAMENTO APURIMAC"</t>
  </si>
  <si>
    <t>IOARR “OPTIMIZACION MEDIANTE COBERTURA DEL PATIO DE HONOR Y FORMACION DE LA IEP N°54408 AYRIHUANCA, DISTRITO MICAELAS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</si>
</sst>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1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1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1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1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1" fontId="66" fillId="11" borderId="37" xfId="0" applyNumberFormat="1" applyFont="1" applyFill="1" applyBorder="1" applyAlignment="1">
      <alignment horizontal="center"/>
    </xf>
    <xf numFmtId="171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0" fillId="0" borderId="0" xfId="0" applyNumberFormat="1"/>
    <xf numFmtId="165" fontId="1" fillId="0" borderId="0" xfId="0" applyNumberFormat="1" applyFont="1" applyFill="1" applyAlignment="1" applyProtection="1">
      <alignment horizontal="left" vertical="center"/>
    </xf>
    <xf numFmtId="171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2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5053" y="5485968"/>
          <a:ext cx="647700" cy="4660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J31"/>
  <sheetViews>
    <sheetView tabSelected="1" view="pageBreakPreview" zoomScale="98" zoomScaleNormal="100" zoomScaleSheetLayoutView="98" workbookViewId="0">
      <selection activeCell="D25" sqref="D25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152424.6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152424.6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152424.6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0.41339999999999999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215442.38333333333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0.41343577961387679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215442.38333333333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7.1778169925246063E-2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230906.44833333333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4.3307582235919802E-2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0.10810222139819121</v>
      </c>
      <c r="F24" s="367"/>
      <c r="G24" s="402">
        <f>Supervision!G158</f>
        <v>24961.5</v>
      </c>
      <c r="H24" s="362"/>
      <c r="I24" s="363"/>
      <c r="J24" s="431">
        <f>G24/G16</f>
        <v>0.11586160352385011</v>
      </c>
    </row>
    <row r="25" spans="2:10">
      <c r="B25" s="366"/>
      <c r="C25" s="367"/>
      <c r="D25" s="399" t="s">
        <v>138</v>
      </c>
      <c r="E25" s="400">
        <f>G25/G21</f>
        <v>7.4882057754573031E-2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283158.69833333336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4" t="s">
        <v>70</v>
      </c>
      <c r="B3" s="464"/>
      <c r="C3" s="464"/>
      <c r="D3" s="464"/>
      <c r="E3" s="464"/>
      <c r="F3" s="464"/>
      <c r="G3" s="464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59" t="s">
        <v>37</v>
      </c>
      <c r="D15" s="460"/>
      <c r="E15" s="460"/>
      <c r="F15" s="461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6" t="s">
        <v>73</v>
      </c>
      <c r="C20" s="460"/>
      <c r="D20" s="460"/>
      <c r="E20" s="460"/>
      <c r="F20" s="461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65"/>
      <c r="C26" s="465"/>
      <c r="D26" s="465"/>
      <c r="E26" s="465"/>
      <c r="F26" s="465"/>
      <c r="G26" s="465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6" t="s">
        <v>3</v>
      </c>
      <c r="C52" s="457"/>
      <c r="D52" s="457"/>
      <c r="E52" s="458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6" t="s">
        <v>3</v>
      </c>
      <c r="C62" s="457"/>
      <c r="D62" s="457"/>
      <c r="E62" s="458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6" t="s">
        <v>3</v>
      </c>
      <c r="C76" s="457"/>
      <c r="D76" s="457"/>
      <c r="E76" s="458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6" t="s">
        <v>3</v>
      </c>
      <c r="C87" s="457"/>
      <c r="D87" s="457"/>
      <c r="E87" s="458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6" t="s">
        <v>3</v>
      </c>
      <c r="C99" s="457"/>
      <c r="D99" s="457"/>
      <c r="E99" s="458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6" t="s">
        <v>3</v>
      </c>
      <c r="C111" s="457"/>
      <c r="D111" s="457"/>
      <c r="E111" s="458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6" t="s">
        <v>3</v>
      </c>
      <c r="C121" s="457"/>
      <c r="D121" s="457"/>
      <c r="E121" s="458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6" t="s">
        <v>3</v>
      </c>
      <c r="C131" s="457"/>
      <c r="D131" s="457"/>
      <c r="E131" s="458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52" t="s">
        <v>3</v>
      </c>
      <c r="C140" s="453"/>
      <c r="D140" s="453"/>
      <c r="E140" s="454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52" t="s">
        <v>3</v>
      </c>
      <c r="C152" s="453"/>
      <c r="D152" s="453"/>
      <c r="E152" s="454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52" t="s">
        <v>3</v>
      </c>
      <c r="C434" s="453"/>
      <c r="D434" s="453"/>
      <c r="E434" s="454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52" t="s">
        <v>3</v>
      </c>
      <c r="C459" s="453"/>
      <c r="D459" s="453"/>
      <c r="E459" s="454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52" t="s">
        <v>3</v>
      </c>
      <c r="C467" s="453"/>
      <c r="D467" s="453"/>
      <c r="E467" s="454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2" t="s">
        <v>73</v>
      </c>
      <c r="B471" s="462"/>
      <c r="C471" s="462"/>
      <c r="D471" s="462"/>
      <c r="E471" s="462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2"/>
      <c r="C475" s="463"/>
      <c r="D475" s="463"/>
      <c r="E475" s="463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2"/>
      <c r="B479" s="462"/>
      <c r="C479" s="462"/>
      <c r="D479" s="462"/>
      <c r="E479" s="462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55"/>
      <c r="B486" s="455"/>
      <c r="C486" s="455"/>
      <c r="D486" s="455"/>
      <c r="E486" s="455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69" t="s">
        <v>68</v>
      </c>
      <c r="B3" s="469"/>
      <c r="C3" s="469"/>
      <c r="D3" s="469"/>
      <c r="E3" s="469"/>
      <c r="F3" s="469"/>
      <c r="G3" s="469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73" t="s">
        <v>41</v>
      </c>
      <c r="C19" s="474"/>
      <c r="D19" s="474"/>
      <c r="E19" s="474"/>
      <c r="F19" s="474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67" t="s">
        <v>42</v>
      </c>
      <c r="B24" s="468"/>
      <c r="C24" s="468"/>
      <c r="D24" s="468"/>
      <c r="E24" s="468"/>
      <c r="F24" s="468"/>
      <c r="G24" s="468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67" t="s">
        <v>43</v>
      </c>
      <c r="B26" s="467"/>
      <c r="C26" s="467"/>
      <c r="D26" s="467"/>
      <c r="E26" s="467"/>
      <c r="F26" s="467"/>
      <c r="G26" s="467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75" t="s">
        <v>3</v>
      </c>
      <c r="C46" s="475"/>
      <c r="D46" s="475"/>
      <c r="E46" s="475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77" t="s">
        <v>3</v>
      </c>
      <c r="C66" s="478"/>
      <c r="D66" s="478"/>
      <c r="E66" s="479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0" t="s">
        <v>3</v>
      </c>
      <c r="C82" s="481"/>
      <c r="D82" s="481"/>
      <c r="E82" s="482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0" t="s">
        <v>3</v>
      </c>
      <c r="C101" s="481"/>
      <c r="D101" s="481"/>
      <c r="E101" s="482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0" t="s">
        <v>3</v>
      </c>
      <c r="C117" s="481"/>
      <c r="D117" s="481"/>
      <c r="E117" s="482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0" t="s">
        <v>3</v>
      </c>
      <c r="C135" s="481"/>
      <c r="D135" s="481"/>
      <c r="E135" s="482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1" t="s">
        <v>3</v>
      </c>
      <c r="C146" s="471"/>
      <c r="D146" s="471"/>
      <c r="E146" s="471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1" t="s">
        <v>3</v>
      </c>
      <c r="C184" s="471"/>
      <c r="D184" s="471"/>
      <c r="E184" s="471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1" t="s">
        <v>3</v>
      </c>
      <c r="C194" s="471"/>
      <c r="D194" s="471"/>
      <c r="E194" s="471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1" t="s">
        <v>3</v>
      </c>
      <c r="C201" s="471"/>
      <c r="D201" s="471"/>
      <c r="E201" s="471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6" t="s">
        <v>41</v>
      </c>
      <c r="B204" s="476"/>
      <c r="C204" s="476"/>
      <c r="D204" s="476"/>
      <c r="E204" s="476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6" t="s">
        <v>280</v>
      </c>
      <c r="B1" s="486"/>
      <c r="C1" s="486"/>
      <c r="D1" s="486"/>
      <c r="E1" s="486"/>
      <c r="F1" s="486"/>
      <c r="G1" s="486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3.8">
      <c r="A10" s="70"/>
      <c r="B10" s="29"/>
      <c r="C10" s="487"/>
      <c r="D10" s="487"/>
      <c r="E10" s="487"/>
      <c r="F10" s="487"/>
      <c r="G10" s="487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73" t="s">
        <v>282</v>
      </c>
      <c r="C19" s="474"/>
      <c r="D19" s="474"/>
      <c r="E19" s="474"/>
      <c r="F19" s="474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67" t="s">
        <v>42</v>
      </c>
      <c r="B23" s="468"/>
      <c r="C23" s="468"/>
      <c r="D23" s="468"/>
      <c r="E23" s="468"/>
      <c r="F23" s="468"/>
      <c r="G23" s="468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0" t="s">
        <v>3</v>
      </c>
      <c r="C38" s="481"/>
      <c r="D38" s="481"/>
      <c r="E38" s="482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4" t="s">
        <v>281</v>
      </c>
      <c r="B41" s="484"/>
      <c r="C41" s="484"/>
      <c r="D41" s="484"/>
      <c r="E41" s="484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75" t="s">
        <v>3</v>
      </c>
      <c r="C56" s="475"/>
      <c r="D56" s="475"/>
      <c r="E56" s="475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5" t="s">
        <v>3</v>
      </c>
      <c r="C68" s="485"/>
      <c r="D68" s="485"/>
      <c r="E68" s="485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1" t="s">
        <v>3</v>
      </c>
      <c r="C78" s="471"/>
      <c r="D78" s="471"/>
      <c r="E78" s="471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3" t="s">
        <v>3</v>
      </c>
      <c r="C89" s="483"/>
      <c r="D89" s="483"/>
      <c r="E89" s="483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3" t="s">
        <v>3</v>
      </c>
      <c r="C98" s="483"/>
      <c r="D98" s="483"/>
      <c r="E98" s="483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75" t="s">
        <v>3</v>
      </c>
      <c r="C109" s="475"/>
      <c r="D109" s="475"/>
      <c r="E109" s="475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1" t="s">
        <v>3</v>
      </c>
      <c r="C118" s="471"/>
      <c r="D118" s="471"/>
      <c r="E118" s="471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1" t="s">
        <v>3</v>
      </c>
      <c r="C127" s="471"/>
      <c r="D127" s="471"/>
      <c r="E127" s="471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1" t="s">
        <v>3</v>
      </c>
      <c r="C154" s="471"/>
      <c r="D154" s="471"/>
      <c r="E154" s="471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0" t="s">
        <v>3</v>
      </c>
      <c r="C162" s="481"/>
      <c r="D162" s="481"/>
      <c r="E162" s="482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0" t="s">
        <v>3</v>
      </c>
      <c r="C175" s="481"/>
      <c r="D175" s="481"/>
      <c r="E175" s="482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4" t="s">
        <v>284</v>
      </c>
      <c r="B178" s="484"/>
      <c r="C178" s="484"/>
      <c r="D178" s="484"/>
      <c r="E178" s="484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655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73" t="s">
        <v>76</v>
      </c>
      <c r="C18" s="474"/>
      <c r="D18" s="474"/>
      <c r="E18" s="474"/>
      <c r="F18" s="474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75" t="s">
        <v>3</v>
      </c>
      <c r="C40" s="475"/>
      <c r="D40" s="475"/>
      <c r="E40" s="475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5" t="s">
        <v>3</v>
      </c>
      <c r="C53" s="485"/>
      <c r="D53" s="485"/>
      <c r="E53" s="485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1" t="s">
        <v>3</v>
      </c>
      <c r="C63" s="471"/>
      <c r="D63" s="471"/>
      <c r="E63" s="471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1" t="s">
        <v>3</v>
      </c>
      <c r="C106" s="471"/>
      <c r="D106" s="471"/>
      <c r="E106" s="471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1" t="s">
        <v>3</v>
      </c>
      <c r="C114" s="471"/>
      <c r="D114" s="471"/>
      <c r="E114" s="471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1" t="s">
        <v>3</v>
      </c>
      <c r="C138" s="471"/>
      <c r="D138" s="471"/>
      <c r="E138" s="471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1" t="s">
        <v>3</v>
      </c>
      <c r="C145" s="471"/>
      <c r="D145" s="471"/>
      <c r="E145" s="471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0" t="s">
        <v>3</v>
      </c>
      <c r="C156" s="481"/>
      <c r="D156" s="481"/>
      <c r="E156" s="482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4" t="s">
        <v>76</v>
      </c>
      <c r="B158" s="484"/>
      <c r="C158" s="484"/>
      <c r="D158" s="484"/>
      <c r="E158" s="484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157</v>
      </c>
      <c r="C19" s="474"/>
      <c r="D19" s="474"/>
      <c r="E19" s="474"/>
      <c r="F19" s="474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154</v>
      </c>
      <c r="B29" s="467"/>
      <c r="C29" s="467"/>
      <c r="D29" s="467"/>
      <c r="E29" s="467"/>
      <c r="F29" s="467"/>
      <c r="G29" s="467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157</v>
      </c>
      <c r="B154" s="484"/>
      <c r="C154" s="484"/>
      <c r="D154" s="484"/>
      <c r="E154" s="484"/>
      <c r="F154" s="87" t="s">
        <v>0</v>
      </c>
      <c r="G154" s="164">
        <f>+G19</f>
        <v>17290.75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6" t="s">
        <v>169</v>
      </c>
      <c r="B1" s="486"/>
      <c r="C1" s="486"/>
      <c r="D1" s="486"/>
      <c r="E1" s="486"/>
      <c r="F1" s="486"/>
      <c r="G1" s="486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8" customHeight="1">
      <c r="B10" s="29"/>
      <c r="C10" s="487"/>
      <c r="D10" s="487"/>
      <c r="E10" s="487"/>
      <c r="F10" s="487"/>
      <c r="G10" s="487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73" t="s">
        <v>263</v>
      </c>
      <c r="C18" s="474"/>
      <c r="D18" s="474"/>
      <c r="E18" s="474"/>
      <c r="F18" s="474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67" t="s">
        <v>42</v>
      </c>
      <c r="B22" s="468"/>
      <c r="C22" s="468"/>
      <c r="D22" s="468"/>
      <c r="E22" s="468"/>
      <c r="F22" s="468"/>
      <c r="G22" s="468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67" t="s">
        <v>261</v>
      </c>
      <c r="B24" s="467"/>
      <c r="C24" s="467"/>
      <c r="D24" s="467"/>
      <c r="E24" s="467"/>
      <c r="F24" s="467"/>
      <c r="G24" s="467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75" t="s">
        <v>3</v>
      </c>
      <c r="C37" s="475"/>
      <c r="D37" s="475"/>
      <c r="E37" s="475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5" t="s">
        <v>3</v>
      </c>
      <c r="C49" s="485"/>
      <c r="D49" s="485"/>
      <c r="E49" s="485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1" t="s">
        <v>3</v>
      </c>
      <c r="C59" s="471"/>
      <c r="D59" s="471"/>
      <c r="E59" s="471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75" t="s">
        <v>3</v>
      </c>
      <c r="C90" s="475"/>
      <c r="D90" s="475"/>
      <c r="E90" s="475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1" t="s">
        <v>3</v>
      </c>
      <c r="C176" s="471"/>
      <c r="D176" s="471"/>
      <c r="E176" s="471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1" t="s">
        <v>3</v>
      </c>
      <c r="C186" s="471"/>
      <c r="D186" s="471"/>
      <c r="E186" s="471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0" t="s">
        <v>3</v>
      </c>
      <c r="C197" s="481"/>
      <c r="D197" s="481"/>
      <c r="E197" s="482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4" t="s">
        <v>262</v>
      </c>
      <c r="B200" s="484"/>
      <c r="C200" s="484"/>
      <c r="D200" s="484"/>
      <c r="E200" s="484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view="pageBreakPreview" zoomScale="106" zoomScaleNormal="100" zoomScaleSheetLayoutView="106" workbookViewId="0">
      <selection activeCell="C21" sqref="C2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656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589</v>
      </c>
      <c r="C19" s="474"/>
      <c r="D19" s="474"/>
      <c r="E19" s="474"/>
      <c r="F19" s="474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588</v>
      </c>
      <c r="B29" s="467"/>
      <c r="C29" s="467"/>
      <c r="D29" s="467"/>
      <c r="E29" s="467"/>
      <c r="F29" s="467"/>
      <c r="G29" s="467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589</v>
      </c>
      <c r="B154" s="484"/>
      <c r="C154" s="484"/>
      <c r="D154" s="484"/>
      <c r="E154" s="484"/>
      <c r="F154" s="87" t="s">
        <v>0</v>
      </c>
      <c r="G154" s="164">
        <f>+G19</f>
        <v>15464.06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4</cp:lastModifiedBy>
  <cp:lastPrinted>2020-07-23T19:00:45Z</cp:lastPrinted>
  <dcterms:created xsi:type="dcterms:W3CDTF">2003-01-21T17:07:22Z</dcterms:created>
  <dcterms:modified xsi:type="dcterms:W3CDTF">2020-07-30T17:04:47Z</dcterms:modified>
</cp:coreProperties>
</file>